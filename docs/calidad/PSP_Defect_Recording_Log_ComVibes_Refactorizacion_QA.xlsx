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SP Defect Recording 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<sst xmlns="http://schemas.openxmlformats.org/spreadsheetml/2006/main" count="196" uniqueCount="127">
  <si>
    <t xml:space="preserve">SERVICIO NACIONAL DE APRENDIZAJE — SENA</t>
  </si>
  <si>
    <t xml:space="preserve">Centro de Desarrollo Agroempresarial y Turístico del Huila  |  Tecnólogo en Análisis y Desarrollo de Software  |  Ficha 3151895</t>
  </si>
  <si>
    <t xml:space="preserve">PSP DEFECT RECORDING LOG — Registro de Defectos PSP</t>
  </si>
  <si>
    <t xml:space="preserve">Aprendiz:</t>
  </si>
  <si>
    <t xml:space="preserve">Brayan Mauricio Castillo Castillo</t>
  </si>
  <si>
    <t xml:space="preserve">Fecha inicio módulo:</t>
  </si>
  <si>
    <t xml:space="preserve">01/06/2026</t>
  </si>
  <si>
    <t xml:space="preserve">Fecha fin módulo:</t>
  </si>
  <si>
    <t xml:space="preserve">01/08/2026</t>
  </si>
  <si>
    <t xml:space="preserve">Instructor:</t>
  </si>
  <si>
    <t xml:space="preserve">Ruben Dario Ramírez</t>
  </si>
  <si>
    <t xml:space="preserve">Módulos auditados:</t>
  </si>
  <si>
    <t xml:space="preserve">Autenticación y Gestión de Usuarios · ampliado a Productos/Catálogo, Pedidos/Checkout y gestión del repositorio tras la auditoría cruzada</t>
  </si>
  <si>
    <t xml:space="preserve">Auditoría cruzada:</t>
  </si>
  <si>
    <t xml:space="preserve">07–08/09/2026 — Grupos ACABADOS Y DISEÑOS 1A y TesaliaVet</t>
  </si>
  <si>
    <t xml:space="preserve">Proyecto:</t>
  </si>
  <si>
    <t xml:space="preserve">ComVibes — E-commerce (React + Node/Express + MySQL)</t>
  </si>
  <si>
    <t xml:space="preserve">Fecha refactorización:</t>
  </si>
  <si>
    <t xml:space="preserve">14/09/2026 (Actividad de Transferencia)</t>
  </si>
  <si>
    <t xml:space="preserve">Repositorio GitHub:</t>
  </si>
  <si>
    <t xml:space="preserve">github.com/BRAYAN-MAURICIO/COMVIBES (comvibes / comvibes-backend)</t>
  </si>
  <si>
    <t xml:space="preserve">Rama de trabajo:</t>
  </si>
  <si>
    <t xml:space="preserve">refactorizacion-qa → merge a main</t>
  </si>
  <si>
    <t xml:space="preserve">#</t>
  </si>
  <si>
    <t xml:space="preserve">Fecha
detección</t>
  </si>
  <si>
    <t xml:space="preserve">Módulo /
Archivo</t>
  </si>
  <si>
    <t xml:space="preserve">Tipo de
defecto</t>
  </si>
  <si>
    <t xml:space="preserve">Descripción del defecto</t>
  </si>
  <si>
    <t xml:space="preserve">Fase de
inyección</t>
  </si>
  <si>
    <t xml:space="preserve">Fase de
remoción</t>
  </si>
  <si>
    <t xml:space="preserve">Tiempo
corrección
(min)</t>
  </si>
  <si>
    <t xml:space="preserve">Severidad</t>
  </si>
  <si>
    <t xml:space="preserve">Acción correctiva aplicada</t>
  </si>
  <si>
    <t xml:space="preserve">Origen del hallazgo</t>
  </si>
  <si>
    <t xml:space="preserve">Commit / evidencia</t>
  </si>
  <si>
    <t xml:space="preserve">10/06/2026</t>
  </si>
  <si>
    <t xml:space="preserve">auth.controller.js</t>
  </si>
  <si>
    <t xml:space="preserve">10 — Lógica</t>
  </si>
  <si>
    <t xml:space="preserve">Las contraseñas se almacenaban en texto plano durante el primer sprint; bcrypt.hash() no estaba integrado.</t>
  </si>
  <si>
    <t xml:space="preserve">Codificación</t>
  </si>
  <si>
    <t xml:space="preserve">Prueba funcional</t>
  </si>
  <si>
    <t xml:space="preserve">Alta</t>
  </si>
  <si>
    <t xml:space="preserve">Se integró bcrypt.hash(password, 10) en register() y bcrypt.compare() en login(). Validado con prueba de inserción directa en BD.</t>
  </si>
  <si>
    <t xml:space="preserve">Desarrollo interno
(PSP sesión 1)</t>
  </si>
  <si>
    <t xml:space="preserve">—</t>
  </si>
  <si>
    <t xml:space="preserve">14/06/2026</t>
  </si>
  <si>
    <t xml:space="preserve">auth.routes.js</t>
  </si>
  <si>
    <t xml:space="preserve">20 — Omisión</t>
  </si>
  <si>
    <t xml:space="preserve">Los endpoints /register y /login no tenían rate limiting; se podían hacer solicitudes ilimitadas.</t>
  </si>
  <si>
    <t xml:space="preserve">Diseño</t>
  </si>
  <si>
    <t xml:space="preserve">Prueba de seguridad</t>
  </si>
  <si>
    <t xml:space="preserve">Se creó middleware/rateLimit.js con loginLimiter (10 intentos / 15 min) y se aplicó en las rutas de autenticación.</t>
  </si>
  <si>
    <t xml:space="preserve">18/06/2026</t>
  </si>
  <si>
    <t xml:space="preserve">utils/jwt.js</t>
  </si>
  <si>
    <t xml:space="preserve">30 — Seguridad</t>
  </si>
  <si>
    <t xml:space="preserve">JWT_SECRET estaba hardcodeado como string literal en el código fuente; riesgo de exposición en repositorio.</t>
  </si>
  <si>
    <t xml:space="preserve">Revisión de código</t>
  </si>
  <si>
    <t xml:space="preserve">Se migró a process.env.JWT_SECRET y process.env.JWT_EXPIRES_IN. Se añadió .env al .gitignore y se verificó el historial de Git.</t>
  </si>
  <si>
    <t xml:space="preserve">22/06/2026</t>
  </si>
  <si>
    <t xml:space="preserve">middleware/auth.js</t>
  </si>
  <si>
    <t xml:space="preserve">Los tokens emitidos antes de un cambio de contraseña seguían siendo válidos porque no se comparaba iat con password_changed_at.</t>
  </si>
  <si>
    <t xml:space="preserve">Prueba de integración</t>
  </si>
  <si>
    <t xml:space="preserve">Se añadió validación: decoded.iat &lt; (password_changed_at / 1000). Se probó emitiendo token, cambiando contraseña y reintentando con token viejo.</t>
  </si>
  <si>
    <t xml:space="preserve">25/06/2026</t>
  </si>
  <si>
    <t xml:space="preserve">auth.controller.js
(forgot-password)</t>
  </si>
  <si>
    <t xml:space="preserve">El endpoint forgot-password retornaba mensajes distintos según si el correo existía o no, permitiendo enumeración de usuarios.</t>
  </si>
  <si>
    <t xml:space="preserve">Media</t>
  </si>
  <si>
    <t xml:space="preserve">Se unificó el mensaje de respuesta para ambos casos: 'Si el correo existe, recibirás instrucciones.' independientemente del resultado.</t>
  </si>
  <si>
    <t xml:space="preserve">28/06/2026</t>
  </si>
  <si>
    <t xml:space="preserve">auth.controller.js
(reset-password)</t>
  </si>
  <si>
    <t xml:space="preserve">El código de recuperación no expiraba ni se marcaba como usado; podía reutilizarse indefinidamente.</t>
  </si>
  <si>
    <t xml:space="preserve">Se añadió columna expira_en (10 min) y campo usado (TINYINT). Se invalida con usado = TRUE al usarse o al solicitar uno nuevo.</t>
  </si>
  <si>
    <t xml:space="preserve">02/07/2026</t>
  </si>
  <si>
    <t xml:space="preserve">La condición para mostrar el código de recuperación usaba NODE_ENV === 'development', lo que podía filtrar el código en entornos de staging.</t>
  </si>
  <si>
    <t xml:space="preserve">Se reemplazó por variable explícita SHOW_RESET_CODE === 'true' (FIX #9). NODE_ENV ya no controla la visibilidad del código.</t>
  </si>
  <si>
    <t xml:space="preserve">05/07/2026</t>
  </si>
  <si>
    <t xml:space="preserve">auth.controller.js
(register)</t>
  </si>
  <si>
    <t xml:space="preserve">El registro de usuario no usaba transacción: si fallaba la inserción del rol o del carrito, el usuario quedaba en un estado inconsistente en la BD.</t>
  </si>
  <si>
    <t xml:space="preserve">Se envolvió todo el flujo en beginTransaction / commit / rollback: usuario → credencial → rol → carrito de forma atómica.</t>
  </si>
  <si>
    <t xml:space="preserve">10/07/2026</t>
  </si>
  <si>
    <t xml:space="preserve">40 — Mantenibilidad</t>
  </si>
  <si>
    <t xml:space="preserve">La consulta SELECT_USER_PLANO (JOIN de usuario + rol) estaba duplicada en register, login y me, generando inconsistencias al modificarla.</t>
  </si>
  <si>
    <t xml:space="preserve">Baja</t>
  </si>
  <si>
    <t xml:space="preserve">Se extrajo a función reutilizable getUsuarioPlano(). Centralizada en un solo lugar; register, login y me la invocan.</t>
  </si>
  <si>
    <t xml:space="preserve">18/07/2026</t>
  </si>
  <si>
    <t xml:space="preserve">errorHandler.js</t>
  </si>
  <si>
    <t xml:space="preserve">50 — Usabilidad</t>
  </si>
  <si>
    <t xml:space="preserve">El catch genérico reenviaba err.message sin filtrar; errores internos de MySQL (ej. 'No existe el rol cliente') llegaban al usuario final.</t>
  </si>
  <si>
    <t xml:space="preserve">Prueba de usuario</t>
  </si>
  <si>
    <t xml:space="preserve">Se amplió errorHandler.js para interceptar códigos de error de MySQL (ER_NO_*) y traducirlos a mensajes amigables en español. Pendiente cobertura completa.</t>
  </si>
  <si>
    <t xml:space="preserve">08/09/2026</t>
  </si>
  <si>
    <t xml:space="preserve">register() concentra en una sola función de 82 líneas (71–152) la validación del payload, la verificación de correo duplicado, la creación de usuario/credencial/rol/carrito y la emisión del código de verificación. Supera el umbral de 50–80 líneas por función.</t>
  </si>
  <si>
    <t xml:space="preserve">Auditoría cruzada
(revisión por pares)</t>
  </si>
  <si>
    <t xml:space="preserve">Se extrajeron validarPayloadRegistro(), verificarCorreoExistente(), crearUsuarioYCredencial() y emitirCodigoVerificacion(). register() queda como orquestador de 39 líneas; los cuatro pasos reciben conn, así que la transacción y el rollback se conservan intactos.</t>
  </si>
  <si>
    <t xml:space="preserve">Auditoría cruzada — TesaliaVet
Hallazgo C-1 (ISO/IEC 25010,
Mantenibilidad / Modularidad)</t>
  </si>
  <si>
    <t xml:space="preserve">refactor(auth): dividir register() en funciones con responsabilidad única</t>
  </si>
  <si>
    <t xml:space="preserve">07/09/2026</t>
  </si>
  <si>
    <t xml:space="preserve">Repositorio
(historial Git)</t>
  </si>
  <si>
    <t xml:space="preserve">El repositorio tiene solo 7 commits, tres de ellos con el mensaje genérico "Add files via upload", y un único mega-commit agrupa casi todo el código. git branch -a muestra únicamente main: no hay evidencia de ramas de trabajo ni de integración revisada.</t>
  </si>
  <si>
    <t xml:space="preserve">Se creó la rama refactorizacion-qa para aislar la corrección y se adoptó Conventional Commits (feat:, fix:, refactor:, chore:, docs:) con un commit por cambio lógico, no por tanda de archivos. La integración a main queda documentada en el merge.</t>
  </si>
  <si>
    <t xml:space="preserve">Auditoría cruzada — ACABADOS Y
DISEÑOS 1A (NC-1) y TesaliaVet
(C-2) · IEEE 730, Gestión de
Configuración</t>
  </si>
  <si>
    <t xml:space="preserve">rama refactorizacion-qa + merge documentado a main</t>
  </si>
  <si>
    <t xml:space="preserve">Raíz del
repositorio</t>
  </si>
  <si>
    <t xml:space="preserve">Se versionan artefactos obsoletos y duplicados: comvibes_.zip (4,07 MB) que duplica el código ya presente en el repo, Comvibes_bas.sql redundante con comvibes-backend/sql/, y el archivo Mockups sin extensión que solo contiene una URL.</t>
  </si>
  <si>
    <t xml:space="preserve">git rm --cached comvibes_.zip Comvibes_bas.sql Mockups. Se añadieron al .gitignore con el motivo documentado, el enlace del mockup se trasladó al README.md y comvibes-backend/sql/ queda como fuente única del esquema.</t>
  </si>
  <si>
    <t xml:space="preserve">Auditoría cruzada — ACABADOS Y
DISEÑOS 1A, NC-4 (ISO/IEC 25010,
Modificabilidad)</t>
  </si>
  <si>
    <t xml:space="preserve">chore(repo): retirar artefactos obsoletos del control de versiones</t>
  </si>
  <si>
    <t xml:space="preserve">pedidos.controller.js
(createPedido)</t>
  </si>
  <si>
    <t xml:space="preserve">createPedido() (líneas 150–264, ≈115 líneas) concentra ocho tareas: validar carrito, chequeo previo de stock, validar dirección, bloquear inventario con SELECT ... FOR UPDATE, insertar pedido y descontar stock, registrar pago, generar factura y envío, y vaciar el carrito.</t>
  </si>
  <si>
    <t xml:space="preserve">PENDIENTE — planificado para el siguiente sprint: extraer bloquearYValidarStock(conn, items), descontarStock(conn, items), registrarPago(conn, ...), generarFactura(conn, ...) y crearEnvio(conn, ...), dejando createPedido() como orquestador dentro de la misma transacción.</t>
  </si>
  <si>
    <t xml:space="preserve">Auditoría cruzada — ACABADOS Y
DISEÑOS 1A, NC-2 (ISO/IEC 25010,
Modularidad)</t>
  </si>
  <si>
    <t xml:space="preserve">— (pendiente)</t>
  </si>
  <si>
    <t xml:space="preserve">admin/
ProductManagement.jsx</t>
  </si>
  <si>
    <t xml:space="preserve">Un único componente de 633 líneas concentra ~13 hooks useState y la lógica de tabla de productos, formulario de creación y edición, validación, confirmación de borrado, búsqueda, subida de imágenes con galería y alta rápida de categoría y proveedor.</t>
  </si>
  <si>
    <t xml:space="preserve">PENDIENTE — planificado para el siguiente sprint: dividir en &lt;ProductTable&gt;, &lt;ProductForm&gt;, &lt;ImageUploader&gt; y &lt;QuickCreateModal&gt;, dejando ProductManagement como contenedor que coordina el estado.</t>
  </si>
  <si>
    <t xml:space="preserve">Auditoría cruzada — ACABADOS Y
DISEÑOS 1A, NC-3 (ISO/IEC 25010,
Modularidad / Reusabilidad)</t>
  </si>
  <si>
    <t xml:space="preserve">TOTALES</t>
  </si>
  <si>
    <t xml:space="preserve">REFERENCIA — Tipos de Defecto PSP (Watts Humphrey, 1995)</t>
  </si>
  <si>
    <t xml:space="preserve">10 — Lógica: condiciones, ciclos, errores de flujo o razonamiento incorrecto.</t>
  </si>
  <si>
    <t xml:space="preserve">20 — Omisión: funcionalidad requerida que no se implementó.</t>
  </si>
  <si>
    <t xml:space="preserve">30 — Seguridad: vulnerabilidades de acceso, autenticación o exposición de datos.</t>
  </si>
  <si>
    <t xml:space="preserve">40 — Mantenibilidad: código duplicado, sin separación de responsabilidades o sin documentar.</t>
  </si>
  <si>
    <t xml:space="preserve">50 — Usabilidad: mensajes de error poco claros o flujos que confunden al usuario final.</t>
  </si>
  <si>
    <t xml:space="preserve">Fases PSP: Diseño → Codificación → Revisión de código → Prueba funcional → Prueba de integración → Prueba de usuario → Auditoría cruzada (revisión por pares externa).</t>
  </si>
  <si>
    <t xml:space="preserve">Severidad: Alta = falla de seguridad o pérdida de datos  |  Media = impacto funcional visible  |  Baja = calidad / mantenimiento.</t>
  </si>
  <si>
    <t xml:space="preserve">Las filas resaltadas en ámbar (11 a 15) provienen de la auditoría cruzada del 07–08/09/2026; las filas 1 a 10 son defectos detectados durante el desarrollo y ya registrados en la sesión 1.</t>
  </si>
  <si>
    <t xml:space="preserve">Los defectos 14 y 15 quedan sin tiempo de corrección porque están pendientes: se documentan aquí para que el plan SQA los arrastre al siguiente sprint.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</si>
</sst>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B5E20"/>
      <name val="Arial"/>
      <family val="0"/>
      <charset val="1"/>
    </font>
    <font>
      <sz val="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7D32"/>
        <bgColor rgb="FF1B5E20"/>
      </patternFill>
    </fill>
    <fill>
      <patternFill patternType="solid">
        <fgColor rgb="FFC8E6C9"/>
        <bgColor rgb="FFE8F5E9"/>
      </patternFill>
    </fill>
    <fill>
      <patternFill patternType="solid">
        <fgColor rgb="FFE8F5E9"/>
        <bgColor rgb="FFF5F5F5"/>
      </patternFill>
    </fill>
    <fill>
      <patternFill patternType="solid">
        <fgColor rgb="FFFFF9C4"/>
        <bgColor rgb="FFFFF3E0"/>
      </patternFill>
    </fill>
    <fill>
      <patternFill patternType="solid">
        <fgColor rgb="FFFFF3E0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8E6C9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38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38"/>
    <col collapsed="false" customWidth="true" hidden="false" outlineLevel="0" max="11" min="11" style="0" width="26"/>
    <col collapsed="false" customWidth="true" hidden="false" outlineLevel="0" max="12" min="12" style="0" width="3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6" hidden="false" customHeight="true" outlineLevel="0" collapsed="false"/>
    <row r="5" customFormat="false" ht="18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4" t="s">
        <v>5</v>
      </c>
      <c r="H5" s="4"/>
      <c r="I5" s="5" t="s">
        <v>6</v>
      </c>
      <c r="J5" s="5"/>
      <c r="K5" s="5"/>
      <c r="L5" s="5"/>
    </row>
    <row r="6" customFormat="false" ht="18" hidden="false" customHeight="true" outlineLevel="0" collapsed="false">
      <c r="A6" s="4"/>
      <c r="B6" s="4"/>
      <c r="C6" s="5"/>
      <c r="D6" s="5"/>
      <c r="E6" s="5"/>
      <c r="F6" s="5"/>
      <c r="G6" s="4" t="s">
        <v>7</v>
      </c>
      <c r="H6" s="4"/>
      <c r="I6" s="5" t="s">
        <v>8</v>
      </c>
      <c r="J6" s="5"/>
      <c r="K6" s="5"/>
      <c r="L6" s="5"/>
    </row>
    <row r="7" customFormat="false" ht="18" hidden="false" customHeight="true" outlineLevel="0" collapsed="false">
      <c r="A7" s="4"/>
      <c r="B7" s="4"/>
      <c r="C7" s="5"/>
      <c r="D7" s="5"/>
      <c r="E7" s="5"/>
      <c r="F7" s="5"/>
      <c r="G7" s="4" t="s">
        <v>9</v>
      </c>
      <c r="H7" s="4"/>
      <c r="I7" s="5" t="s">
        <v>10</v>
      </c>
      <c r="J7" s="5"/>
      <c r="K7" s="5"/>
      <c r="L7" s="5"/>
    </row>
    <row r="8" customFormat="false" ht="18" hidden="false" customHeight="true" outlineLevel="0" collapsed="false">
      <c r="A8" s="4" t="s">
        <v>11</v>
      </c>
      <c r="B8" s="4"/>
      <c r="C8" s="5" t="s">
        <v>12</v>
      </c>
      <c r="D8" s="5"/>
      <c r="E8" s="5"/>
      <c r="F8" s="5"/>
      <c r="G8" s="4" t="s">
        <v>13</v>
      </c>
      <c r="H8" s="4"/>
      <c r="I8" s="6" t="s">
        <v>14</v>
      </c>
      <c r="J8" s="6"/>
      <c r="K8" s="6"/>
      <c r="L8" s="6"/>
    </row>
    <row r="9" customFormat="false" ht="18" hidden="false" customHeight="true" outlineLevel="0" collapsed="false">
      <c r="A9" s="4" t="s">
        <v>15</v>
      </c>
      <c r="B9" s="4"/>
      <c r="C9" s="5" t="s">
        <v>16</v>
      </c>
      <c r="D9" s="5"/>
      <c r="E9" s="5"/>
      <c r="F9" s="5"/>
      <c r="G9" s="4" t="s">
        <v>17</v>
      </c>
      <c r="H9" s="4"/>
      <c r="I9" s="6" t="s">
        <v>18</v>
      </c>
      <c r="J9" s="6"/>
      <c r="K9" s="6"/>
      <c r="L9" s="6"/>
    </row>
    <row r="10" customFormat="false" ht="18" hidden="false" customHeight="true" outlineLevel="0" collapsed="false">
      <c r="A10" s="4" t="s">
        <v>19</v>
      </c>
      <c r="B10" s="4"/>
      <c r="C10" s="5" t="s">
        <v>20</v>
      </c>
      <c r="D10" s="5"/>
      <c r="E10" s="5"/>
      <c r="F10" s="5"/>
      <c r="G10" s="4" t="s">
        <v>21</v>
      </c>
      <c r="H10" s="4"/>
      <c r="I10" s="6" t="s">
        <v>22</v>
      </c>
      <c r="J10" s="6"/>
      <c r="K10" s="6"/>
      <c r="L10" s="6"/>
    </row>
    <row r="11" customFormat="false" ht="6" hidden="false" customHeight="true" outlineLevel="0" collapsed="false"/>
    <row r="12" customFormat="false" ht="39.75" hidden="false" customHeight="true" outlineLevel="0" collapsed="false">
      <c r="A12" s="7" t="s">
        <v>23</v>
      </c>
      <c r="B12" s="7" t="s">
        <v>24</v>
      </c>
      <c r="C12" s="7" t="s">
        <v>25</v>
      </c>
      <c r="D12" s="7" t="s">
        <v>26</v>
      </c>
      <c r="E12" s="7" t="s">
        <v>27</v>
      </c>
      <c r="F12" s="7" t="s">
        <v>28</v>
      </c>
      <c r="G12" s="7" t="s">
        <v>29</v>
      </c>
      <c r="H12" s="7" t="s">
        <v>30</v>
      </c>
      <c r="I12" s="7" t="s">
        <v>31</v>
      </c>
      <c r="J12" s="7" t="s">
        <v>32</v>
      </c>
      <c r="K12" s="7" t="s">
        <v>33</v>
      </c>
      <c r="L12" s="7" t="s">
        <v>34</v>
      </c>
    </row>
    <row r="13" customFormat="false" ht="60" hidden="false" customHeight="true" outlineLevel="0" collapsed="false">
      <c r="A13" s="8" t="n">
        <v>1</v>
      </c>
      <c r="B13" s="8" t="s">
        <v>35</v>
      </c>
      <c r="C13" s="8" t="s">
        <v>36</v>
      </c>
      <c r="D13" s="8" t="s">
        <v>37</v>
      </c>
      <c r="E13" s="9" t="s">
        <v>38</v>
      </c>
      <c r="F13" s="8" t="s">
        <v>39</v>
      </c>
      <c r="G13" s="8" t="s">
        <v>40</v>
      </c>
      <c r="H13" s="8" t="n">
        <v>45</v>
      </c>
      <c r="I13" s="8" t="s">
        <v>41</v>
      </c>
      <c r="J13" s="9" t="s">
        <v>42</v>
      </c>
      <c r="K13" s="9" t="s">
        <v>43</v>
      </c>
      <c r="L13" s="9" t="s">
        <v>44</v>
      </c>
    </row>
    <row r="14" customFormat="false" ht="60" hidden="false" customHeight="true" outlineLevel="0" collapsed="false">
      <c r="A14" s="10" t="n">
        <v>2</v>
      </c>
      <c r="B14" s="10" t="s">
        <v>45</v>
      </c>
      <c r="C14" s="10" t="s">
        <v>46</v>
      </c>
      <c r="D14" s="10" t="s">
        <v>47</v>
      </c>
      <c r="E14" s="11" t="s">
        <v>48</v>
      </c>
      <c r="F14" s="10" t="s">
        <v>49</v>
      </c>
      <c r="G14" s="10" t="s">
        <v>50</v>
      </c>
      <c r="H14" s="10" t="n">
        <v>30</v>
      </c>
      <c r="I14" s="10" t="s">
        <v>41</v>
      </c>
      <c r="J14" s="11" t="s">
        <v>51</v>
      </c>
      <c r="K14" s="11" t="s">
        <v>43</v>
      </c>
      <c r="L14" s="11" t="s">
        <v>44</v>
      </c>
    </row>
    <row r="15" customFormat="false" ht="60" hidden="false" customHeight="true" outlineLevel="0" collapsed="false">
      <c r="A15" s="8" t="n">
        <v>3</v>
      </c>
      <c r="B15" s="8" t="s">
        <v>52</v>
      </c>
      <c r="C15" s="8" t="s">
        <v>53</v>
      </c>
      <c r="D15" s="8" t="s">
        <v>54</v>
      </c>
      <c r="E15" s="9" t="s">
        <v>55</v>
      </c>
      <c r="F15" s="8" t="s">
        <v>39</v>
      </c>
      <c r="G15" s="8" t="s">
        <v>56</v>
      </c>
      <c r="H15" s="8" t="n">
        <v>20</v>
      </c>
      <c r="I15" s="8" t="s">
        <v>41</v>
      </c>
      <c r="J15" s="9" t="s">
        <v>57</v>
      </c>
      <c r="K15" s="9" t="s">
        <v>43</v>
      </c>
      <c r="L15" s="9" t="s">
        <v>44</v>
      </c>
    </row>
    <row r="16" customFormat="false" ht="60" hidden="false" customHeight="true" outlineLevel="0" collapsed="false">
      <c r="A16" s="10" t="n">
        <v>4</v>
      </c>
      <c r="B16" s="10" t="s">
        <v>58</v>
      </c>
      <c r="C16" s="10" t="s">
        <v>59</v>
      </c>
      <c r="D16" s="10" t="s">
        <v>37</v>
      </c>
      <c r="E16" s="11" t="s">
        <v>60</v>
      </c>
      <c r="F16" s="10" t="s">
        <v>39</v>
      </c>
      <c r="G16" s="10" t="s">
        <v>61</v>
      </c>
      <c r="H16" s="10" t="n">
        <v>60</v>
      </c>
      <c r="I16" s="10" t="s">
        <v>41</v>
      </c>
      <c r="J16" s="11" t="s">
        <v>62</v>
      </c>
      <c r="K16" s="11" t="s">
        <v>43</v>
      </c>
      <c r="L16" s="11" t="s">
        <v>44</v>
      </c>
    </row>
    <row r="17" customFormat="false" ht="60" hidden="false" customHeight="true" outlineLevel="0" collapsed="false">
      <c r="A17" s="8" t="n">
        <v>5</v>
      </c>
      <c r="B17" s="8" t="s">
        <v>63</v>
      </c>
      <c r="C17" s="8" t="s">
        <v>64</v>
      </c>
      <c r="D17" s="8" t="s">
        <v>54</v>
      </c>
      <c r="E17" s="9" t="s">
        <v>65</v>
      </c>
      <c r="F17" s="8" t="s">
        <v>39</v>
      </c>
      <c r="G17" s="8" t="s">
        <v>56</v>
      </c>
      <c r="H17" s="8" t="n">
        <v>25</v>
      </c>
      <c r="I17" s="8" t="s">
        <v>66</v>
      </c>
      <c r="J17" s="9" t="s">
        <v>67</v>
      </c>
      <c r="K17" s="9" t="s">
        <v>43</v>
      </c>
      <c r="L17" s="9" t="s">
        <v>44</v>
      </c>
    </row>
    <row r="18" customFormat="false" ht="60" hidden="false" customHeight="true" outlineLevel="0" collapsed="false">
      <c r="A18" s="10" t="n">
        <v>6</v>
      </c>
      <c r="B18" s="10" t="s">
        <v>68</v>
      </c>
      <c r="C18" s="10" t="s">
        <v>69</v>
      </c>
      <c r="D18" s="10" t="s">
        <v>37</v>
      </c>
      <c r="E18" s="11" t="s">
        <v>70</v>
      </c>
      <c r="F18" s="10" t="s">
        <v>49</v>
      </c>
      <c r="G18" s="10" t="s">
        <v>40</v>
      </c>
      <c r="H18" s="10" t="n">
        <v>50</v>
      </c>
      <c r="I18" s="10" t="s">
        <v>41</v>
      </c>
      <c r="J18" s="11" t="s">
        <v>71</v>
      </c>
      <c r="K18" s="11" t="s">
        <v>43</v>
      </c>
      <c r="L18" s="11" t="s">
        <v>44</v>
      </c>
    </row>
    <row r="19" customFormat="false" ht="60" hidden="false" customHeight="true" outlineLevel="0" collapsed="false">
      <c r="A19" s="8" t="n">
        <v>7</v>
      </c>
      <c r="B19" s="8" t="s">
        <v>72</v>
      </c>
      <c r="C19" s="8" t="s">
        <v>36</v>
      </c>
      <c r="D19" s="8" t="s">
        <v>54</v>
      </c>
      <c r="E19" s="9" t="s">
        <v>73</v>
      </c>
      <c r="F19" s="8" t="s">
        <v>39</v>
      </c>
      <c r="G19" s="8" t="s">
        <v>56</v>
      </c>
      <c r="H19" s="8" t="n">
        <v>15</v>
      </c>
      <c r="I19" s="8" t="s">
        <v>66</v>
      </c>
      <c r="J19" s="9" t="s">
        <v>74</v>
      </c>
      <c r="K19" s="9" t="s">
        <v>43</v>
      </c>
      <c r="L19" s="9" t="s">
        <v>44</v>
      </c>
    </row>
    <row r="20" customFormat="false" ht="60" hidden="false" customHeight="true" outlineLevel="0" collapsed="false">
      <c r="A20" s="10" t="n">
        <v>8</v>
      </c>
      <c r="B20" s="10" t="s">
        <v>75</v>
      </c>
      <c r="C20" s="10" t="s">
        <v>76</v>
      </c>
      <c r="D20" s="10" t="s">
        <v>37</v>
      </c>
      <c r="E20" s="11" t="s">
        <v>77</v>
      </c>
      <c r="F20" s="10" t="s">
        <v>39</v>
      </c>
      <c r="G20" s="10" t="s">
        <v>61</v>
      </c>
      <c r="H20" s="10" t="n">
        <v>75</v>
      </c>
      <c r="I20" s="10" t="s">
        <v>41</v>
      </c>
      <c r="J20" s="11" t="s">
        <v>78</v>
      </c>
      <c r="K20" s="11" t="s">
        <v>43</v>
      </c>
      <c r="L20" s="11" t="s">
        <v>44</v>
      </c>
    </row>
    <row r="21" customFormat="false" ht="60" hidden="false" customHeight="true" outlineLevel="0" collapsed="false">
      <c r="A21" s="8" t="n">
        <v>9</v>
      </c>
      <c r="B21" s="8" t="s">
        <v>79</v>
      </c>
      <c r="C21" s="8" t="s">
        <v>36</v>
      </c>
      <c r="D21" s="8" t="s">
        <v>80</v>
      </c>
      <c r="E21" s="9" t="s">
        <v>81</v>
      </c>
      <c r="F21" s="8" t="s">
        <v>39</v>
      </c>
      <c r="G21" s="8" t="s">
        <v>56</v>
      </c>
      <c r="H21" s="8" t="n">
        <v>40</v>
      </c>
      <c r="I21" s="8" t="s">
        <v>82</v>
      </c>
      <c r="J21" s="9" t="s">
        <v>83</v>
      </c>
      <c r="K21" s="9" t="s">
        <v>43</v>
      </c>
      <c r="L21" s="9" t="s">
        <v>44</v>
      </c>
    </row>
    <row r="22" customFormat="false" ht="60" hidden="false" customHeight="true" outlineLevel="0" collapsed="false">
      <c r="A22" s="10" t="n">
        <v>10</v>
      </c>
      <c r="B22" s="10" t="s">
        <v>84</v>
      </c>
      <c r="C22" s="10" t="s">
        <v>85</v>
      </c>
      <c r="D22" s="10" t="s">
        <v>86</v>
      </c>
      <c r="E22" s="11" t="s">
        <v>87</v>
      </c>
      <c r="F22" s="10" t="s">
        <v>39</v>
      </c>
      <c r="G22" s="10" t="s">
        <v>88</v>
      </c>
      <c r="H22" s="10" t="n">
        <v>35</v>
      </c>
      <c r="I22" s="10" t="s">
        <v>66</v>
      </c>
      <c r="J22" s="11" t="s">
        <v>89</v>
      </c>
      <c r="K22" s="11" t="s">
        <v>43</v>
      </c>
      <c r="L22" s="11" t="s">
        <v>44</v>
      </c>
    </row>
    <row r="23" customFormat="false" ht="78" hidden="false" customHeight="true" outlineLevel="0" collapsed="false">
      <c r="A23" s="12" t="n">
        <v>11</v>
      </c>
      <c r="B23" s="12" t="s">
        <v>90</v>
      </c>
      <c r="C23" s="12" t="s">
        <v>76</v>
      </c>
      <c r="D23" s="12" t="s">
        <v>80</v>
      </c>
      <c r="E23" s="13" t="s">
        <v>91</v>
      </c>
      <c r="F23" s="12" t="s">
        <v>39</v>
      </c>
      <c r="G23" s="12" t="s">
        <v>92</v>
      </c>
      <c r="H23" s="12" t="n">
        <v>55</v>
      </c>
      <c r="I23" s="12" t="s">
        <v>66</v>
      </c>
      <c r="J23" s="13" t="s">
        <v>93</v>
      </c>
      <c r="K23" s="13" t="s">
        <v>94</v>
      </c>
      <c r="L23" s="13" t="s">
        <v>95</v>
      </c>
    </row>
    <row r="24" customFormat="false" ht="78" hidden="false" customHeight="true" outlineLevel="0" collapsed="false">
      <c r="A24" s="12" t="n">
        <v>12</v>
      </c>
      <c r="B24" s="12" t="s">
        <v>96</v>
      </c>
      <c r="C24" s="12" t="s">
        <v>97</v>
      </c>
      <c r="D24" s="12" t="s">
        <v>80</v>
      </c>
      <c r="E24" s="13" t="s">
        <v>98</v>
      </c>
      <c r="F24" s="12" t="s">
        <v>49</v>
      </c>
      <c r="G24" s="12" t="s">
        <v>92</v>
      </c>
      <c r="H24" s="12" t="n">
        <v>30</v>
      </c>
      <c r="I24" s="12" t="s">
        <v>66</v>
      </c>
      <c r="J24" s="13" t="s">
        <v>99</v>
      </c>
      <c r="K24" s="13" t="s">
        <v>100</v>
      </c>
      <c r="L24" s="13" t="s">
        <v>101</v>
      </c>
    </row>
    <row r="25" customFormat="false" ht="78" hidden="false" customHeight="true" outlineLevel="0" collapsed="false">
      <c r="A25" s="12" t="n">
        <v>13</v>
      </c>
      <c r="B25" s="12" t="s">
        <v>96</v>
      </c>
      <c r="C25" s="12" t="s">
        <v>102</v>
      </c>
      <c r="D25" s="12" t="s">
        <v>80</v>
      </c>
      <c r="E25" s="13" t="s">
        <v>103</v>
      </c>
      <c r="F25" s="12" t="s">
        <v>39</v>
      </c>
      <c r="G25" s="12" t="s">
        <v>92</v>
      </c>
      <c r="H25" s="12" t="n">
        <v>20</v>
      </c>
      <c r="I25" s="12" t="s">
        <v>82</v>
      </c>
      <c r="J25" s="13" t="s">
        <v>104</v>
      </c>
      <c r="K25" s="13" t="s">
        <v>105</v>
      </c>
      <c r="L25" s="13" t="s">
        <v>106</v>
      </c>
    </row>
    <row r="26" customFormat="false" ht="78" hidden="false" customHeight="true" outlineLevel="0" collapsed="false">
      <c r="A26" s="12" t="n">
        <v>14</v>
      </c>
      <c r="B26" s="12" t="s">
        <v>96</v>
      </c>
      <c r="C26" s="12" t="s">
        <v>107</v>
      </c>
      <c r="D26" s="12" t="s">
        <v>80</v>
      </c>
      <c r="E26" s="13" t="s">
        <v>108</v>
      </c>
      <c r="F26" s="12" t="s">
        <v>39</v>
      </c>
      <c r="G26" s="12" t="s">
        <v>92</v>
      </c>
      <c r="H26" s="12"/>
      <c r="I26" s="12" t="s">
        <v>66</v>
      </c>
      <c r="J26" s="13" t="s">
        <v>109</v>
      </c>
      <c r="K26" s="13" t="s">
        <v>110</v>
      </c>
      <c r="L26" s="13" t="s">
        <v>111</v>
      </c>
    </row>
    <row r="27" customFormat="false" ht="78" hidden="false" customHeight="true" outlineLevel="0" collapsed="false">
      <c r="A27" s="12" t="n">
        <v>15</v>
      </c>
      <c r="B27" s="12" t="s">
        <v>96</v>
      </c>
      <c r="C27" s="12" t="s">
        <v>112</v>
      </c>
      <c r="D27" s="12" t="s">
        <v>80</v>
      </c>
      <c r="E27" s="13" t="s">
        <v>113</v>
      </c>
      <c r="F27" s="12" t="s">
        <v>39</v>
      </c>
      <c r="G27" s="12" t="s">
        <v>92</v>
      </c>
      <c r="H27" s="12"/>
      <c r="I27" s="12" t="s">
        <v>66</v>
      </c>
      <c r="J27" s="13" t="s">
        <v>114</v>
      </c>
      <c r="K27" s="13" t="s">
        <v>115</v>
      </c>
      <c r="L27" s="13" t="s">
        <v>111</v>
      </c>
    </row>
    <row r="28" customFormat="false" ht="21.75" hidden="false" customHeight="true" outlineLevel="0" collapsed="false">
      <c r="A28" s="14" t="s">
        <v>116</v>
      </c>
      <c r="B28" s="14"/>
      <c r="C28" s="14"/>
      <c r="D28" s="14"/>
      <c r="E28" s="14"/>
      <c r="F28" s="14"/>
      <c r="G28" s="14"/>
      <c r="H28" s="15" t="n">
        <f aca="false">SUM(H13:H27)</f>
        <v>500</v>
      </c>
      <c r="I28" s="14" t="str">
        <f aca="false">COUNTA(A13:A27) &amp; " defectos registrados  ·  " &amp; COUNTA(H13:H27) &amp; " corregidos  ·  " &amp; (COUNTA(A13:A27)-COUNTA(H13:H27)) &amp; " pendientes"</f>
        <v>15 defectos registrados  ·  13 corregidos  ·  2 pendientes</v>
      </c>
      <c r="J28" s="14"/>
      <c r="K28" s="14"/>
      <c r="L28" s="14"/>
    </row>
    <row r="30" customFormat="false" ht="18" hidden="false" customHeight="true" outlineLevel="0" collapsed="false">
      <c r="A30" s="16" t="s">
        <v>117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</row>
    <row r="31" customFormat="false" ht="15.75" hidden="false" customHeight="true" outlineLevel="0" collapsed="false">
      <c r="A31" s="17" t="s">
        <v>118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.75" hidden="false" customHeight="true" outlineLevel="0" collapsed="false">
      <c r="A32" s="17" t="s">
        <v>119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.75" hidden="false" customHeight="true" outlineLevel="0" collapsed="false">
      <c r="A33" s="17" t="s">
        <v>120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.75" hidden="false" customHeight="true" outlineLevel="0" collapsed="false">
      <c r="A34" s="17" t="s">
        <v>121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.75" hidden="false" customHeight="true" outlineLevel="0" collapsed="false">
      <c r="A35" s="17" t="s">
        <v>122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.75" hidden="false" customHeight="true" outlineLevel="0" collapsed="false">
      <c r="A36" s="17" t="s">
        <v>123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.75" hidden="false" customHeight="true" outlineLevel="0" collapsed="false">
      <c r="A37" s="17" t="s">
        <v>124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.75" hidden="false" customHeight="true" outlineLevel="0" collapsed="false">
      <c r="A38" s="17" t="s">
        <v>125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.75" hidden="false" customHeight="true" outlineLevel="0" collapsed="false">
      <c r="A39" s="17" t="s">
        <v>126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</sheetData>
  <mergeCells count="39">
    <mergeCell ref="A1:L1"/>
    <mergeCell ref="A2:L2"/>
    <mergeCell ref="A3:L3"/>
    <mergeCell ref="A5:B5"/>
    <mergeCell ref="C5:F5"/>
    <mergeCell ref="G5:H5"/>
    <mergeCell ref="I5:L5"/>
    <mergeCell ref="A6:B6"/>
    <mergeCell ref="C6:F6"/>
    <mergeCell ref="G6:H6"/>
    <mergeCell ref="I6:L6"/>
    <mergeCell ref="A7:B7"/>
    <mergeCell ref="C7:F7"/>
    <mergeCell ref="G7:H7"/>
    <mergeCell ref="I7:L7"/>
    <mergeCell ref="A8:B8"/>
    <mergeCell ref="C8:F8"/>
    <mergeCell ref="G8:H8"/>
    <mergeCell ref="I8:L8"/>
    <mergeCell ref="A9:B9"/>
    <mergeCell ref="C9:F9"/>
    <mergeCell ref="G9:H9"/>
    <mergeCell ref="I9:L9"/>
    <mergeCell ref="A10:B10"/>
    <mergeCell ref="C10:F10"/>
    <mergeCell ref="G10:H10"/>
    <mergeCell ref="I10:L10"/>
    <mergeCell ref="A28:G28"/>
    <mergeCell ref="I28:L28"/>
    <mergeCell ref="A30:L30"/>
    <mergeCell ref="A31:L31"/>
    <mergeCell ref="A32:L32"/>
    <mergeCell ref="A33:L33"/>
    <mergeCell ref="A34:L34"/>
    <mergeCell ref="A35:L35"/>
    <mergeCell ref="A36:L36"/>
    <mergeCell ref="A37:L37"/>
    <mergeCell ref="A38:L38"/>
    <mergeCell ref="A39:L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2026-09-14T21:27:23Z</dcterms:created>
  <dc:creator>openpyxl</dc:creator>
  <dc:description/>
  <dc:language>en-US</dc:language>
  <cp:lastModifiedBy/>
  <dcterms:modified xsi:type="dcterms:W3CDTF">2026-09-14T21:27:23Z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