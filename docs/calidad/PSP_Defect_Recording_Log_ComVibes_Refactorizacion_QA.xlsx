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SP Defect Recording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<sst xmlns="http://schemas.openxmlformats.org/spreadsheetml/2006/main" count="96" uniqueCount="79">
  <si>
    <t xml:space="preserve">SERVICIO NACIONAL DE APRENDIZAJE — SENA</t>
  </si>
  <si>
    <t xml:space="preserve">Centro de Desarrollo Agroempresarial y Turístico del Huila  |  Tecnólogo en Análisis y Desarrollo de Software  |  Ficha 3151895</t>
  </si>
  <si>
    <t xml:space="preserve">PSP DEFECT RECORDING LOG — Defectos de la Auditoría Cruzada</t>
  </si>
  <si>
    <t xml:space="preserve">Aprendiz:</t>
  </si>
  <si>
    <t xml:space="preserve">Brayan Mauricio Castillo Castillo</t>
  </si>
  <si>
    <t xml:space="preserve">Auditoría cruzada:</t>
  </si>
  <si>
    <t xml:space="preserve">07–08/09/2026 — Grupos ACABADOS Y DISEÑOS 1A y TesaliaVet</t>
  </si>
  <si>
    <t xml:space="preserve">Equipo de desarrollo:</t>
  </si>
  <si>
    <t xml:space="preserve">Marlon Javier Conde  ·  Juan David Sanmiguel</t>
  </si>
  <si>
    <t xml:space="preserve">Fecha refactorización:</t>
  </si>
  <si>
    <t xml:space="preserve">14/09/2026 (hallazgos 1–3) y 24/09/2026 (hallazgos 4–5)</t>
  </si>
  <si>
    <t xml:space="preserve">Proyecto:</t>
  </si>
  <si>
    <t xml:space="preserve">ComVibes — E-commerce (React + Node/Express + MySQL)</t>
  </si>
  <si>
    <t xml:space="preserve">Instructor:</t>
  </si>
  <si>
    <t xml:space="preserve">Ruben Dario Ramírez</t>
  </si>
  <si>
    <t xml:space="preserve">Módulos auditados:</t>
  </si>
  <si>
    <t xml:space="preserve">Autenticación, Productos/Catálogo, Pedidos/Checkout y gestión del repositorio</t>
  </si>
  <si>
    <t xml:space="preserve">Rama de trabajo:</t>
  </si>
  <si>
    <t xml:space="preserve">refactorizacion-qa  →  merge a main</t>
  </si>
  <si>
    <t xml:space="preserve">Repositorio GitHub:</t>
  </si>
  <si>
    <t xml:space="preserve">github.com/BRAYAN-MAURICIO/COMVIBES</t>
  </si>
  <si>
    <t xml:space="preserve">Normas aplicadas:</t>
  </si>
  <si>
    <t xml:space="preserve">ISO/IEC 25010  ·  IEEE 730  ·  IEEE 1074</t>
  </si>
  <si>
    <t xml:space="preserve">#</t>
  </si>
  <si>
    <t xml:space="preserve">Fecha
detección</t>
  </si>
  <si>
    <t xml:space="preserve">Módulo /
Archivo</t>
  </si>
  <si>
    <t xml:space="preserve">Tipo de
defecto</t>
  </si>
  <si>
    <t xml:space="preserve">Descripción del defecto</t>
  </si>
  <si>
    <t xml:space="preserve">Fase de
inyección</t>
  </si>
  <si>
    <t xml:space="preserve">Fase de
remoción</t>
  </si>
  <si>
    <t xml:space="preserve">Tiempo
corrección
(min)</t>
  </si>
  <si>
    <t xml:space="preserve">Severidad</t>
  </si>
  <si>
    <t xml:space="preserve">Acción correctiva aplicada</t>
  </si>
  <si>
    <t xml:space="preserve">Origen del hallazgo</t>
  </si>
  <si>
    <t xml:space="preserve">Commit / evidencia</t>
  </si>
  <si>
    <t xml:space="preserve">08/09/2026</t>
  </si>
  <si>
    <t xml:space="preserve">auth.controller.js
(register)</t>
  </si>
  <si>
    <t xml:space="preserve">40 — Mantenibilidad</t>
  </si>
  <si>
    <t xml:space="preserve">register() concentra en una sola función de 82 líneas (71–152) la validación del payload, la verificación de correo duplicado, la creación de usuario/credencial/rol/carrito y la emisión del código de verificación. Supera el umbral de 50–80 líneas por función.</t>
  </si>
  <si>
    <t xml:space="preserve">Codificación</t>
  </si>
  <si>
    <t xml:space="preserve">Auditoría cruzada
(revisión por pares)</t>
  </si>
  <si>
    <t xml:space="preserve">Media</t>
  </si>
  <si>
    <t xml:space="preserve">Se extrajeron validarPayloadRegistro(), verificarCorreoExistente(), crearUsuarioYCredencial() y emitirCodigoVerificacion(). register() queda como orquestador de 39 líneas; los cuatro pasos reciben conn, así que la transacción y el rollback se conservan intactos.</t>
  </si>
  <si>
    <t xml:space="preserve">Auditoría cruzada — TesaliaVet
Hallazgo C-1 (ISO/IEC 25010,
Mantenibilidad / Modularidad)</t>
  </si>
  <si>
    <t xml:space="preserve">refactor(auth): dividir register() en funciones con responsabilidad única</t>
  </si>
  <si>
    <t xml:space="preserve">07/09/2026</t>
  </si>
  <si>
    <t xml:space="preserve">Repositorio
(historial Git)</t>
  </si>
  <si>
    <t xml:space="preserve">El repositorio tiene solo 7 commits, tres de ellos con el mensaje genérico "Add files via upload", y un único mega-commit agrupa casi todo el código. git branch -a muestra únicamente main: no hay evidencia de ramas de trabajo ni de integración revisada.</t>
  </si>
  <si>
    <t xml:space="preserve">Diseño</t>
  </si>
  <si>
    <t xml:space="preserve">Se creó la rama refactorizacion-qa para aislar la corrección y se adoptó Conventional Commits (feat:, fix:, refactor:, chore:, docs:) con un commit por cambio lógico, no por tanda de archivos. La integración a main queda documentada en el merge.</t>
  </si>
  <si>
    <t xml:space="preserve">Auditoría cruzada — ACABADOS Y
DISEÑOS 1A (NC-1) y TesaliaVet
(C-2) · IEEE 730, Gestión de
Configuración</t>
  </si>
  <si>
    <t xml:space="preserve">rama refactorizacion-qa + merge documentado a main</t>
  </si>
  <si>
    <t xml:space="preserve">Raíz del
repositorio</t>
  </si>
  <si>
    <t xml:space="preserve">Se versionan artefactos obsoletos y duplicados: comvibes_.zip (4,07 MB) que duplica el código ya presente en el repo, Comvibes_bas.sql redundante con comvibes-backend/sql/, y el archivo Mockups sin extensión que solo contiene una URL.</t>
  </si>
  <si>
    <t xml:space="preserve">Baja</t>
  </si>
  <si>
    <t xml:space="preserve">git rm --cached comvibes_.zip Comvibes_bas.sql Mockups. Se añadieron al .gitignore con el motivo documentado, el enlace del mockup se trasladó al README.md y comvibes-backend/sql/ queda como fuente única del esquema.</t>
  </si>
  <si>
    <t xml:space="preserve">Auditoría cruzada — ACABADOS Y
DISEÑOS 1A, NC-4 (ISO/IEC 25010,
Modificabilidad)</t>
  </si>
  <si>
    <t xml:space="preserve">chore(repo): retirar artefactos obsoletos del control de versiones</t>
  </si>
  <si>
    <t xml:space="preserve">pedidos.controller.js
(createPedido)</t>
  </si>
  <si>
    <t xml:space="preserve">createPedido() (líneas 150–264, ≈115 líneas) concentra ocho tareas: validar carrito, chequeo previo de stock, validar dirección, bloquear inventario con SELECT ... FOR UPDATE, insertar pedido y descontar stock, registrar pago, generar factura y envío, y vaciar el carrito.</t>
  </si>
  <si>
    <t xml:space="preserve">Se extrajeron validarCheckout(), bloquearYValidarStock(), insertarPedido(), descontarStock(), registrarPago(), generarFactura(), crearEnvio() y vaciarCarrito(). createPedido() pasa de ≈115 a 40 líneas y solo orquesta; los pasos reciben conn y corren en la misma transacción. Se comprobó con 8 escenarios de checkout (compra exitosa, carrito vacío, sin stock, dirección ajena, carrera de stock…) que las respuestas y consultas coinciden con la versión anterior. También se atendieron 2 observaciones menores de listPedidos: WHERE como variable propia y LIMIT/OFFSET parametrizados.</t>
  </si>
  <si>
    <t xml:space="preserve">Auditoría cruzada — ACABADOS Y
DISEÑOS 1A, NC-2 (ISO/IEC 25010,
Modularidad)</t>
  </si>
  <si>
    <t xml:space="preserve">refactor(pedidos): dividir createPedido() en pasos del checkout</t>
  </si>
  <si>
    <t xml:space="preserve">admin/
ProductManagement.jsx</t>
  </si>
  <si>
    <t xml:space="preserve">Un único componente de 633 líneas concentra ~13 hooks useState y la lógica de tabla de productos, formulario de creación y edición, validación, confirmación de borrado, búsqueda, subida de imágenes con galería y alta rápida de categoría y proveedor.</t>
  </si>
  <si>
    <t xml:space="preserve">Se dividió en ProductTable, ProductForm, ImageUploader y QuickCreateField (components/admin/products/); QuickCreateField se reutiliza para categoría y proveedor. ProductManagement queda como contenedor: 633 → 256 líneas y 13 → 7 useState. Se comprobó con 20 capturas del DOM y 45 eventos (crear, editar, subir y quitar fotos, buscar, eliminar) que el comportamiento es idéntico. Se corrigió además el texto de ayuda que decía 2 MB cuando el límite real es 8 MB.</t>
  </si>
  <si>
    <t xml:space="preserve">Auditoría cruzada — ACABADOS Y
DISEÑOS 1A, NC-3 (ISO/IEC 25010,
Modularidad / Reusabilidad)</t>
  </si>
  <si>
    <t xml:space="preserve">refactor(admin): dividir ProductManagement en subcomponentes</t>
  </si>
  <si>
    <t xml:space="preserve">TOTALES</t>
  </si>
  <si>
    <t xml:space="preserve">REFERENCIA — Tipos de Defecto PSP (Watts Humphrey, 1995)</t>
  </si>
  <si>
    <t xml:space="preserve">10 — Lógica: condiciones, ciclos, errores de flujo o razonamiento incorrecto.</t>
  </si>
  <si>
    <t xml:space="preserve">20 — Omisión: funcionalidad requerida que no se implementó.</t>
  </si>
  <si>
    <t xml:space="preserve">30 — Seguridad: vulnerabilidades de acceso, autenticación o exposición de datos.</t>
  </si>
  <si>
    <t xml:space="preserve">40 — Mantenibilidad: código duplicado, sin separación de responsabilidades o sin documentar.</t>
  </si>
  <si>
    <t xml:space="preserve">50 — Usabilidad: mensajes de error poco claros o flujos que confunden al usuario final.</t>
  </si>
  <si>
    <t xml:space="preserve">Fases PSP: Diseño → Codificación → Revisión de código → Prueba funcional → Prueba de integración → Prueba de usuario → Auditoría cruzada (revisión por pares externa).</t>
  </si>
  <si>
    <t xml:space="preserve">Severidad: Alta = falla de seguridad o pérdida de datos  |  Media = impacto funcional visible  |  Baja = calidad / mantenimiento.</t>
  </si>
  <si>
    <t xml:space="preserve">Este registro recoge únicamente los hallazgos de la auditoría cruzada del 07–08/09/2026 y su resolución: hallazgos 1 a 3 el 14/09/2026 y hallazgos 4 y 5 el 24/09/2026. Los defectos detectados durante el desarrollo quedaron en el registro de la sesión 1.</t>
  </si>
  <si>
    <t xml:space="preserve">Todas las refactorizaciones conservan el comportamiento: se verificaron comparando la versión anterior y la nueva con los mismos escenarios de prueba.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</si>
</sst>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1B5E2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5E20"/>
      <name val="Arial"/>
      <family val="0"/>
      <charset val="1"/>
    </font>
    <font>
      <sz val="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7D32"/>
        <bgColor rgb="FF1B5E20"/>
      </patternFill>
    </fill>
    <fill>
      <patternFill patternType="solid">
        <fgColor rgb="FFC8E6C9"/>
        <bgColor rgb="FFE8F5E9"/>
      </patternFill>
    </fill>
    <fill>
      <patternFill patternType="solid">
        <fgColor rgb="FFE8F5E9"/>
        <bgColor rgb="FFF5F5F5"/>
      </patternFill>
    </fill>
    <fill>
      <patternFill patternType="solid">
        <fgColor rgb="FFFFF9C4"/>
        <bgColor rgb="FFFFFF99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38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38"/>
    <col collapsed="false" customWidth="true" hidden="false" outlineLevel="0" max="11" min="11" style="1" width="26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25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6" hidden="false" customHeight="true" outlineLevel="0" collapsed="false"/>
    <row r="5" customFormat="false" ht="18" hidden="false" customHeight="true" outlineLevel="0" collapsed="false">
      <c r="A5" s="5" t="s">
        <v>3</v>
      </c>
      <c r="B5" s="5"/>
      <c r="C5" s="6" t="s">
        <v>4</v>
      </c>
      <c r="D5" s="6"/>
      <c r="E5" s="6"/>
      <c r="F5" s="6"/>
      <c r="G5" s="5" t="s">
        <v>5</v>
      </c>
      <c r="H5" s="5"/>
      <c r="I5" s="6" t="s">
        <v>6</v>
      </c>
      <c r="J5" s="6"/>
      <c r="K5" s="6"/>
      <c r="L5" s="6"/>
    </row>
    <row r="6" customFormat="false" ht="18" hidden="false" customHeight="true" outlineLevel="0" collapsed="false">
      <c r="A6" s="5" t="s">
        <v>7</v>
      </c>
      <c r="B6" s="5"/>
      <c r="C6" s="6" t="s">
        <v>8</v>
      </c>
      <c r="D6" s="6"/>
      <c r="E6" s="6"/>
      <c r="F6" s="6"/>
      <c r="G6" s="5" t="s">
        <v>9</v>
      </c>
      <c r="H6" s="5"/>
      <c r="I6" s="6" t="s">
        <v>10</v>
      </c>
      <c r="J6" s="6"/>
      <c r="K6" s="6"/>
      <c r="L6" s="6"/>
    </row>
    <row r="7" customFormat="false" ht="18" hidden="false" customHeight="true" outlineLevel="0" collapsed="false">
      <c r="A7" s="5" t="s">
        <v>11</v>
      </c>
      <c r="B7" s="5"/>
      <c r="C7" s="6" t="s">
        <v>12</v>
      </c>
      <c r="D7" s="6"/>
      <c r="E7" s="6"/>
      <c r="F7" s="6"/>
      <c r="G7" s="5" t="s">
        <v>13</v>
      </c>
      <c r="H7" s="5"/>
      <c r="I7" s="6" t="s">
        <v>14</v>
      </c>
      <c r="J7" s="6"/>
      <c r="K7" s="6"/>
      <c r="L7" s="6"/>
    </row>
    <row r="8" customFormat="false" ht="18" hidden="false" customHeight="true" outlineLevel="0" collapsed="false">
      <c r="A8" s="5" t="s">
        <v>15</v>
      </c>
      <c r="B8" s="5"/>
      <c r="C8" s="6" t="s">
        <v>16</v>
      </c>
      <c r="D8" s="6"/>
      <c r="E8" s="6"/>
      <c r="F8" s="6"/>
      <c r="G8" s="5" t="s">
        <v>17</v>
      </c>
      <c r="H8" s="5"/>
      <c r="I8" s="6" t="s">
        <v>18</v>
      </c>
      <c r="J8" s="6"/>
      <c r="K8" s="6"/>
      <c r="L8" s="6"/>
    </row>
    <row r="9" customFormat="false" ht="18" hidden="false" customHeight="true" outlineLevel="0" collapsed="false">
      <c r="A9" s="5" t="s">
        <v>19</v>
      </c>
      <c r="B9" s="5"/>
      <c r="C9" s="6" t="s">
        <v>20</v>
      </c>
      <c r="D9" s="6"/>
      <c r="E9" s="6"/>
      <c r="F9" s="6"/>
      <c r="G9" s="5" t="s">
        <v>21</v>
      </c>
      <c r="H9" s="5"/>
      <c r="I9" s="6" t="s">
        <v>22</v>
      </c>
      <c r="J9" s="6"/>
      <c r="K9" s="6"/>
      <c r="L9" s="6"/>
    </row>
    <row r="10" customFormat="false" ht="6" hidden="false" customHeight="true" outlineLevel="0" collapsed="false"/>
    <row r="11" customFormat="false" ht="39.75" hidden="false" customHeight="true" outlineLevel="0" collapsed="false">
      <c r="A11" s="7" t="s">
        <v>23</v>
      </c>
      <c r="B11" s="7" t="s">
        <v>24</v>
      </c>
      <c r="C11" s="7" t="s">
        <v>25</v>
      </c>
      <c r="D11" s="7" t="s">
        <v>26</v>
      </c>
      <c r="E11" s="7" t="s">
        <v>27</v>
      </c>
      <c r="F11" s="7" t="s">
        <v>28</v>
      </c>
      <c r="G11" s="7" t="s">
        <v>29</v>
      </c>
      <c r="H11" s="7" t="s">
        <v>30</v>
      </c>
      <c r="I11" s="7" t="s">
        <v>31</v>
      </c>
      <c r="J11" s="7" t="s">
        <v>32</v>
      </c>
      <c r="K11" s="7" t="s">
        <v>33</v>
      </c>
      <c r="L11" s="7" t="s">
        <v>34</v>
      </c>
    </row>
    <row r="12" customFormat="false" ht="85.5" hidden="false" customHeight="true" outlineLevel="0" collapsed="false">
      <c r="A12" s="8" t="n">
        <v>1</v>
      </c>
      <c r="B12" s="8" t="s">
        <v>35</v>
      </c>
      <c r="C12" s="8" t="s">
        <v>36</v>
      </c>
      <c r="D12" s="8" t="s">
        <v>37</v>
      </c>
      <c r="E12" s="9" t="s">
        <v>38</v>
      </c>
      <c r="F12" s="8" t="s">
        <v>39</v>
      </c>
      <c r="G12" s="8" t="s">
        <v>40</v>
      </c>
      <c r="H12" s="8" t="n">
        <v>55</v>
      </c>
      <c r="I12" s="8" t="s">
        <v>41</v>
      </c>
      <c r="J12" s="9" t="s">
        <v>42</v>
      </c>
      <c r="K12" s="9" t="s">
        <v>43</v>
      </c>
      <c r="L12" s="9" t="s">
        <v>44</v>
      </c>
    </row>
    <row r="13" customFormat="false" ht="85.5" hidden="false" customHeight="true" outlineLevel="0" collapsed="false">
      <c r="A13" s="10" t="n">
        <v>2</v>
      </c>
      <c r="B13" s="10" t="s">
        <v>45</v>
      </c>
      <c r="C13" s="10" t="s">
        <v>46</v>
      </c>
      <c r="D13" s="10" t="s">
        <v>37</v>
      </c>
      <c r="E13" s="11" t="s">
        <v>47</v>
      </c>
      <c r="F13" s="10" t="s">
        <v>48</v>
      </c>
      <c r="G13" s="10" t="s">
        <v>40</v>
      </c>
      <c r="H13" s="10" t="n">
        <v>30</v>
      </c>
      <c r="I13" s="10" t="s">
        <v>41</v>
      </c>
      <c r="J13" s="11" t="s">
        <v>49</v>
      </c>
      <c r="K13" s="11" t="s">
        <v>50</v>
      </c>
      <c r="L13" s="11" t="s">
        <v>51</v>
      </c>
    </row>
    <row r="14" customFormat="false" ht="85.5" hidden="false" customHeight="true" outlineLevel="0" collapsed="false">
      <c r="A14" s="8" t="n">
        <v>3</v>
      </c>
      <c r="B14" s="8" t="s">
        <v>45</v>
      </c>
      <c r="C14" s="8" t="s">
        <v>52</v>
      </c>
      <c r="D14" s="8" t="s">
        <v>37</v>
      </c>
      <c r="E14" s="9" t="s">
        <v>53</v>
      </c>
      <c r="F14" s="8" t="s">
        <v>39</v>
      </c>
      <c r="G14" s="8" t="s">
        <v>40</v>
      </c>
      <c r="H14" s="8" t="n">
        <v>20</v>
      </c>
      <c r="I14" s="8" t="s">
        <v>54</v>
      </c>
      <c r="J14" s="9" t="s">
        <v>55</v>
      </c>
      <c r="K14" s="9" t="s">
        <v>56</v>
      </c>
      <c r="L14" s="9" t="s">
        <v>57</v>
      </c>
    </row>
    <row r="15" customFormat="false" ht="175.5" hidden="false" customHeight="true" outlineLevel="0" collapsed="false">
      <c r="A15" s="10" t="n">
        <v>4</v>
      </c>
      <c r="B15" s="10" t="s">
        <v>45</v>
      </c>
      <c r="C15" s="10" t="s">
        <v>58</v>
      </c>
      <c r="D15" s="10" t="s">
        <v>37</v>
      </c>
      <c r="E15" s="11" t="s">
        <v>59</v>
      </c>
      <c r="F15" s="10" t="s">
        <v>39</v>
      </c>
      <c r="G15" s="10" t="s">
        <v>40</v>
      </c>
      <c r="H15" s="10" t="n">
        <v>50</v>
      </c>
      <c r="I15" s="10" t="s">
        <v>41</v>
      </c>
      <c r="J15" s="11" t="s">
        <v>60</v>
      </c>
      <c r="K15" s="11" t="s">
        <v>61</v>
      </c>
      <c r="L15" s="11" t="s">
        <v>62</v>
      </c>
    </row>
    <row r="16" customFormat="false" ht="139.5" hidden="false" customHeight="true" outlineLevel="0" collapsed="false">
      <c r="A16" s="8" t="n">
        <v>5</v>
      </c>
      <c r="B16" s="8" t="s">
        <v>45</v>
      </c>
      <c r="C16" s="8" t="s">
        <v>63</v>
      </c>
      <c r="D16" s="8" t="s">
        <v>37</v>
      </c>
      <c r="E16" s="9" t="s">
        <v>64</v>
      </c>
      <c r="F16" s="8" t="s">
        <v>39</v>
      </c>
      <c r="G16" s="8" t="s">
        <v>40</v>
      </c>
      <c r="H16" s="8" t="n">
        <v>90</v>
      </c>
      <c r="I16" s="8" t="s">
        <v>41</v>
      </c>
      <c r="J16" s="9" t="s">
        <v>65</v>
      </c>
      <c r="K16" s="9" t="s">
        <v>66</v>
      </c>
      <c r="L16" s="9" t="s">
        <v>67</v>
      </c>
    </row>
    <row r="17" customFormat="false" ht="21.75" hidden="false" customHeight="true" outlineLevel="0" collapsed="false">
      <c r="A17" s="12" t="s">
        <v>68</v>
      </c>
      <c r="B17" s="12"/>
      <c r="C17" s="12"/>
      <c r="D17" s="12"/>
      <c r="E17" s="12"/>
      <c r="F17" s="12"/>
      <c r="G17" s="12"/>
      <c r="H17" s="13" t="n">
        <f aca="false">SUM(H12:H16)</f>
        <v>245</v>
      </c>
      <c r="I17" s="12" t="str">
        <f aca="false">COUNTA(A12:A16) &amp; " hallazgos registrados  ·  " &amp; COUNTA(H12:H16) &amp; " corregidos  ·  " &amp; (COUNTA(A12:A16)-COUNTA(H12:H16)) &amp; " pendientes"</f>
        <v>5 hallazgos registrados  ·  5 corregidos  ·  0 pendientes</v>
      </c>
      <c r="J17" s="12"/>
      <c r="K17" s="12"/>
      <c r="L17" s="12"/>
    </row>
    <row r="19" customFormat="false" ht="18" hidden="false" customHeight="true" outlineLevel="0" collapsed="false">
      <c r="A19" s="14" t="s">
        <v>69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customFormat="false" ht="15.75" hidden="false" customHeight="true" outlineLevel="0" collapsed="false">
      <c r="A20" s="15" t="s">
        <v>70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customFormat="false" ht="15.75" hidden="false" customHeight="true" outlineLevel="0" collapsed="false">
      <c r="A21" s="15" t="s">
        <v>71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customFormat="false" ht="15.75" hidden="false" customHeight="true" outlineLevel="0" collapsed="false">
      <c r="A22" s="15" t="s">
        <v>72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customFormat="false" ht="15.75" hidden="false" customHeight="true" outlineLevel="0" collapsed="false">
      <c r="A23" s="15" t="s">
        <v>73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customFormat="false" ht="15.75" hidden="false" customHeight="true" outlineLevel="0" collapsed="false">
      <c r="A24" s="15" t="s">
        <v>74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customFormat="false" ht="15.75" hidden="false" customHeight="true" outlineLevel="0" collapsed="false">
      <c r="A25" s="15" t="s">
        <v>75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customFormat="false" ht="15.75" hidden="false" customHeight="true" outlineLevel="0" collapsed="false">
      <c r="A26" s="15" t="s">
        <v>76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customFormat="false" ht="15.75" hidden="false" customHeight="true" outlineLevel="0" collapsed="false">
      <c r="A27" s="15" t="s">
        <v>77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customFormat="false" ht="15.75" hidden="false" customHeight="true" outlineLevel="0" collapsed="false">
      <c r="A28" s="15" t="s">
        <v>78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</sheetData>
  <mergeCells count="35">
    <mergeCell ref="A1:L1"/>
    <mergeCell ref="A2:L2"/>
    <mergeCell ref="A3:L3"/>
    <mergeCell ref="A5:B5"/>
    <mergeCell ref="C5:F5"/>
    <mergeCell ref="G5:H5"/>
    <mergeCell ref="I5:L5"/>
    <mergeCell ref="A6:B6"/>
    <mergeCell ref="C6:F6"/>
    <mergeCell ref="G6:H6"/>
    <mergeCell ref="I6:L6"/>
    <mergeCell ref="A7:B7"/>
    <mergeCell ref="C7:F7"/>
    <mergeCell ref="G7:H7"/>
    <mergeCell ref="I7:L7"/>
    <mergeCell ref="A8:B8"/>
    <mergeCell ref="C8:F8"/>
    <mergeCell ref="G8:H8"/>
    <mergeCell ref="I8:L8"/>
    <mergeCell ref="A9:B9"/>
    <mergeCell ref="C9:F9"/>
    <mergeCell ref="G9:H9"/>
    <mergeCell ref="I9:L9"/>
    <mergeCell ref="A17:G17"/>
    <mergeCell ref="I17:L17"/>
    <mergeCell ref="A19:L19"/>
    <mergeCell ref="A20:L20"/>
    <mergeCell ref="A21:L21"/>
    <mergeCell ref="A22:L22"/>
    <mergeCell ref="A23:L23"/>
    <mergeCell ref="A24:L24"/>
    <mergeCell ref="A25:L25"/>
    <mergeCell ref="A26:L26"/>
    <mergeCell ref="A27:L27"/>
    <mergeCell ref="A28:L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2026-09-24T13:21:57Z</dcterms:created>
  <dc:creator>openpyxl</dc:creator>
  <dc:description/>
  <dc:language>en-US</dc:language>
  <cp:lastModifiedBy/>
  <dcterms:modified xsi:type="dcterms:W3CDTF">2026-09-24T13:22:06Z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